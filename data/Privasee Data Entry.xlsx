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 DATA back camera raw analog " sheetId="1" r:id="rId5"/>
    <sheet state="visible" name="3262026 accuracy in lab testing" sheetId="2" r:id="rId6"/>
    <sheet state="visible" name="Power draw" sheetId="3" r:id="rId7"/>
  </sheets>
  <definedNames/>
  <calcPr/>
</workbook>
</file>

<file path=xl/sharedStrings.xml><?xml version="1.0" encoding="utf-8"?>
<sst xmlns="http://schemas.openxmlformats.org/spreadsheetml/2006/main" count="371" uniqueCount="85">
  <si>
    <t>Controll values</t>
  </si>
  <si>
    <t>Close range readings</t>
  </si>
  <si>
    <t>Long range readings</t>
  </si>
  <si>
    <t>IR DATA Raw analog readings 3/08/2026</t>
  </si>
  <si>
    <t>Run #</t>
  </si>
  <si>
    <t>Object</t>
  </si>
  <si>
    <t>Detected a camera?</t>
  </si>
  <si>
    <t>Propper detection?</t>
  </si>
  <si>
    <t>Notes</t>
  </si>
  <si>
    <t>Type:</t>
  </si>
  <si>
    <t>Number counted</t>
  </si>
  <si>
    <t>Expeceted #</t>
  </si>
  <si>
    <t>Expeceted %</t>
  </si>
  <si>
    <t>user indication</t>
  </si>
  <si>
    <t>Human Hand</t>
  </si>
  <si>
    <t>n</t>
  </si>
  <si>
    <t>y</t>
  </si>
  <si>
    <t>Totals</t>
  </si>
  <si>
    <t>Diode (this case LED) lighting up</t>
  </si>
  <si>
    <t>Watch</t>
  </si>
  <si>
    <t>iPhone Back Camera &gt;7in</t>
  </si>
  <si>
    <t>iPhone Back Camera &lt;7in</t>
  </si>
  <si>
    <t>Android Phone Camera</t>
  </si>
  <si>
    <t>longer clock cycle than iphone</t>
  </si>
  <si>
    <t>iPhone Back Camera Angles ≤20in</t>
  </si>
  <si>
    <t>HP OmniBook Camera</t>
  </si>
  <si>
    <t>phynicy, may be angle</t>
  </si>
  <si>
    <t>iPhone Front Camera ≤7in</t>
  </si>
  <si>
    <t>LiDAR Sensor</t>
  </si>
  <si>
    <t>iPhone Front Camera Far</t>
  </si>
  <si>
    <t>Very storong</t>
  </si>
  <si>
    <t>OpenSmooth</t>
  </si>
  <si>
    <t>Phone Flashlight</t>
  </si>
  <si>
    <t>Expecterd</t>
  </si>
  <si>
    <t>Remote</t>
  </si>
  <si>
    <t>Sharpie</t>
  </si>
  <si>
    <t>Drill (Operating)</t>
  </si>
  <si>
    <t>may of shook components</t>
  </si>
  <si>
    <t>Red Bull</t>
  </si>
  <si>
    <t>iPhone Face Scan</t>
  </si>
  <si>
    <t>Flashlight</t>
  </si>
  <si>
    <t>Apple Face ID</t>
  </si>
  <si>
    <t>Very strong, bounced off Jordans face</t>
  </si>
  <si>
    <t>LiDAR</t>
  </si>
  <si>
    <t>TV Remote</t>
  </si>
  <si>
    <t>Kingroon K3SP</t>
  </si>
  <si>
    <t>Red Bull Can</t>
  </si>
  <si>
    <t>Isopropyl Alcohol</t>
  </si>
  <si>
    <t>iPhone Front Camera &gt;7in</t>
  </si>
  <si>
    <t>Unknown</t>
  </si>
  <si>
    <t>Sweater</t>
  </si>
  <si>
    <t>Paintbrush</t>
  </si>
  <si>
    <t>Metal</t>
  </si>
  <si>
    <t>Heat Gun  on Screwdriver</t>
  </si>
  <si>
    <t>External Camera</t>
  </si>
  <si>
    <t>Android Front Camera</t>
  </si>
  <si>
    <t>unsure</t>
  </si>
  <si>
    <t>3D Printed PLA Part</t>
  </si>
  <si>
    <t>OpenSmooth Base</t>
  </si>
  <si>
    <t>Triggered from funneling sun rays (tested)</t>
  </si>
  <si>
    <t>OpenSmooth Plastic Case</t>
  </si>
  <si>
    <t>Moved board on side for less sun interference</t>
  </si>
  <si>
    <t>Isopropyl Alcohol (After Movement)</t>
  </si>
  <si>
    <t>Metal Gyroid Stand</t>
  </si>
  <si>
    <t>OpenSmooth Plastic Container</t>
  </si>
  <si>
    <t>Unknown Device (Possible Phone)</t>
  </si>
  <si>
    <t>?</t>
  </si>
  <si>
    <t>OpenSmooth PETG</t>
  </si>
  <si>
    <t>B</t>
  </si>
  <si>
    <t>Kingroon K3SP Pro (Bottom)</t>
  </si>
  <si>
    <t>Kingroon K3SP Pro (Side)</t>
  </si>
  <si>
    <t>IR Remote</t>
  </si>
  <si>
    <t>expecetd because off ir pulse</t>
  </si>
  <si>
    <t>power draw graph</t>
  </si>
  <si>
    <t>Supply</t>
  </si>
  <si>
    <t>2 Double A batteries</t>
  </si>
  <si>
    <t>2-3 Ah</t>
  </si>
  <si>
    <t>Power draw</t>
  </si>
  <si>
    <t>ESP</t>
  </si>
  <si>
    <t>63 mA</t>
  </si>
  <si>
    <t>Rest of ircuit</t>
  </si>
  <si>
    <t>minescew ( can be ignored)</t>
  </si>
  <si>
    <t>Total power draw calculatoed is 47 Hours</t>
  </si>
  <si>
    <t>Power draw may be inacurate due to a buck boost</t>
  </si>
  <si>
    <t>Minimmum 30 hours battery 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</si>
</sst>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>
      <sz val="9.0"/>
      <color rgb="FFF7981D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right" vertical="bottom"/>
    </xf>
    <xf borderId="1" fillId="2" fontId="4" numFmtId="0" xfId="0" applyAlignment="1" applyBorder="1" applyFill="1" applyFont="1">
      <alignment readingOrder="0" shrinkToFit="0" vertical="center" wrapText="0"/>
    </xf>
    <xf borderId="1" fillId="2" fontId="4" numFmtId="0" xfId="0" applyAlignment="1" applyBorder="1" applyFont="1">
      <alignment horizontal="right" shrinkToFit="0" vertical="center" wrapText="0"/>
    </xf>
    <xf borderId="1" fillId="2" fontId="4" numFmtId="10" xfId="0" applyAlignment="1" applyBorder="1" applyFont="1" applyNumberFormat="1">
      <alignment horizontal="right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1" fillId="3" fontId="4" numFmtId="0" xfId="0" applyAlignment="1" applyBorder="1" applyFont="1">
      <alignment horizontal="right" shrinkToFit="0" vertical="center" wrapText="0"/>
    </xf>
    <xf borderId="1" fillId="3" fontId="4" numFmtId="10" xfId="0" applyAlignment="1" applyBorder="1" applyFont="1" applyNumberFormat="1">
      <alignment horizontal="right" shrinkToFit="0" vertical="center" wrapText="0"/>
    </xf>
    <xf borderId="2" fillId="4" fontId="4" numFmtId="0" xfId="0" applyAlignment="1" applyBorder="1" applyFill="1" applyFont="1">
      <alignment shrinkToFit="0" vertical="center" wrapText="0"/>
    </xf>
    <xf borderId="1" fillId="4" fontId="4" numFmtId="0" xfId="0" applyAlignment="1" applyBorder="1" applyFont="1">
      <alignment horizontal="right" shrinkToFit="0" vertical="center" wrapText="0"/>
    </xf>
    <xf borderId="1" fillId="4" fontId="4" numFmtId="10" xfId="0" applyAlignment="1" applyBorder="1" applyFont="1" applyNumberForma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4" fontId="4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shrinkToFit="0" vertical="center" wrapText="0"/>
    </xf>
    <xf borderId="0" fillId="0" fontId="1" numFmtId="0" xfId="0" applyFont="1"/>
    <xf borderId="3" fillId="4" fontId="4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4" fillId="3" fontId="2" numFmtId="10" xfId="0" applyAlignment="1" applyBorder="1" applyFont="1" applyNumberFormat="1">
      <alignment shrinkToFit="0" vertical="center" wrapText="0"/>
    </xf>
    <xf borderId="0" fillId="4" fontId="2" numFmtId="0" xfId="0" applyFont="1"/>
    <xf borderId="0" fillId="4" fontId="2" numFmtId="10" xfId="0" applyFont="1" applyNumberFormat="1"/>
    <xf borderId="0" fillId="3" fontId="2" numFmtId="0" xfId="0" applyFont="1"/>
    <xf borderId="0" fillId="3" fontId="2" numFmtId="10" xfId="0" applyFont="1" applyNumberFormat="1"/>
    <xf borderId="0" fillId="4" fontId="2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3262026 accuracy in lab tes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262026 accuracy in lab testing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0" Type="http://schemas.openxmlformats.org/officeDocument/2006/relationships/image" Target="../media/image10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5.png"/><Relationship Id="rId8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200025</xdr:rowOff>
    </xdr:from>
    <xdr:ext cx="4876800" cy="2667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26</xdr:row>
      <xdr:rowOff>133350</xdr:rowOff>
    </xdr:from>
    <xdr:ext cx="4876800" cy="26670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25</xdr:row>
      <xdr:rowOff>200025</xdr:rowOff>
    </xdr:from>
    <xdr:ext cx="4876800" cy="26670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133350</xdr:rowOff>
    </xdr:from>
    <xdr:ext cx="4876800" cy="26670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12</xdr:row>
      <xdr:rowOff>200025</xdr:rowOff>
    </xdr:from>
    <xdr:ext cx="4876800" cy="266700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12</xdr:row>
      <xdr:rowOff>200025</xdr:rowOff>
    </xdr:from>
    <xdr:ext cx="4876800" cy="2667000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876800" cy="2667000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0</xdr:row>
      <xdr:rowOff>0</xdr:rowOff>
    </xdr:from>
    <xdr:ext cx="4876800" cy="266700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0</xdr:row>
      <xdr:rowOff>0</xdr:rowOff>
    </xdr:from>
    <xdr:ext cx="4876800" cy="2667000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39</xdr:row>
      <xdr:rowOff>133350</xdr:rowOff>
    </xdr:from>
    <xdr:ext cx="4876800" cy="2667000"/>
    <xdr:pic>
      <xdr:nvPicPr>
        <xdr:cNvPr id="0" name="image1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1085850</xdr:colOff>
      <xdr:row>0</xdr:row>
      <xdr:rowOff>0</xdr:rowOff>
    </xdr:from>
    <xdr:ext cx="5257800" cy="3257550"/>
    <xdr:pic>
      <xdr:nvPicPr>
        <xdr:cNvPr id="206096708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1085850</xdr:colOff>
      <xdr:row>12</xdr:row>
      <xdr:rowOff>114300</xdr:rowOff>
    </xdr:from>
    <xdr:ext cx="5257800" cy="3257550"/>
    <xdr:pic>
      <xdr:nvPicPr>
        <xdr:cNvPr id="183804022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561975</xdr:colOff>
      <xdr:row>0</xdr:row>
      <xdr:rowOff>0</xdr:rowOff>
    </xdr:from>
    <xdr:ext cx="7096125" cy="4391025"/>
    <xdr:pic>
      <xdr:nvPicPr>
        <xdr:cNvPr id="108032505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200025</xdr:rowOff>
    </xdr:from>
    <xdr:ext cx="4876800" cy="48291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2" displayName="Table1" name="Table1" id="1">
  <tableColumns count="5">
    <tableColumn name="Run #" id="1"/>
    <tableColumn name="Object" id="2"/>
    <tableColumn name="Detected a camera?" id="3"/>
    <tableColumn name="Propper detection?" id="4"/>
    <tableColumn name="Notes" id="5"/>
  </tableColumns>
  <tableStyleInfo name="3262026 accuracy in lab testing-style" showColumnStripes="0" showFirstColumn="1" showLastColumn="1" showRowStripes="1"/>
</table>
</file>

<file path=xl/tables/table2.xml><?xml version="1.0" encoding="utf-8"?>
<table xmlns="http://schemas.openxmlformats.org/spreadsheetml/2006/main" ref="G1:J32" displayName="Results_shortened" name="Results_shortened" id="2">
  <tableColumns count="4">
    <tableColumn name="Type:" id="1"/>
    <tableColumn name="Number counted" id="2"/>
    <tableColumn name="Expeceted #" id="3"/>
    <tableColumn name="Expeceted %" id="4"/>
  </tableColumns>
  <tableStyleInfo name="3262026 accuracy in lab test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7" max="17" width="16.88"/>
  </cols>
  <sheetData>
    <row r="6">
      <c r="Q6" s="1" t="s">
        <v>0</v>
      </c>
    </row>
    <row r="21">
      <c r="Q21" s="1" t="s">
        <v>1</v>
      </c>
    </row>
    <row r="34">
      <c r="Q34" s="1" t="s">
        <v>2</v>
      </c>
    </row>
    <row r="41">
      <c r="C41" s="1" t="s">
        <v>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4.5"/>
    <col customWidth="1" min="3" max="3" width="20.25"/>
    <col customWidth="1" min="4" max="4" width="19.5"/>
    <col customWidth="1" min="5" max="5" width="36.25"/>
    <col customWidth="1" min="6" max="6" width="8.5"/>
    <col customWidth="1" min="7" max="7" width="27.63"/>
    <col customWidth="1" min="8" max="8" width="18.0"/>
    <col customWidth="1" min="9" max="9" width="14.75"/>
    <col customWidth="1" min="10" max="10" width="18.13"/>
    <col customWidth="1" min="11" max="11" width="25.38"/>
  </cols>
  <sheetData>
    <row r="1" ht="22.5" customHeight="1">
      <c r="A1" s="2" t="s">
        <v>4</v>
      </c>
      <c r="B1" s="2" t="s">
        <v>5</v>
      </c>
      <c r="C1" s="2" t="s">
        <v>6</v>
      </c>
      <c r="D1" s="2" t="s">
        <v>7</v>
      </c>
      <c r="E1" s="3" t="s">
        <v>8</v>
      </c>
      <c r="F1" s="4"/>
      <c r="G1" s="5" t="s">
        <v>9</v>
      </c>
      <c r="H1" s="5" t="s">
        <v>10</v>
      </c>
      <c r="I1" s="5" t="s">
        <v>11</v>
      </c>
      <c r="J1" s="5" t="s">
        <v>12</v>
      </c>
      <c r="K1" s="1" t="s">
        <v>13</v>
      </c>
    </row>
    <row r="2" ht="22.5" customHeight="1">
      <c r="A2" s="6">
        <v>1.0</v>
      </c>
      <c r="B2" s="6" t="s">
        <v>14</v>
      </c>
      <c r="C2" s="6" t="s">
        <v>15</v>
      </c>
      <c r="D2" s="6" t="s">
        <v>16</v>
      </c>
      <c r="F2" s="7"/>
      <c r="G2" s="8" t="s">
        <v>17</v>
      </c>
      <c r="H2" s="9">
        <f t="shared" ref="H2:I2" si="1">SUM(H3:H37)</f>
        <v>101</v>
      </c>
      <c r="I2" s="9">
        <f t="shared" si="1"/>
        <v>95</v>
      </c>
      <c r="J2" s="10">
        <f t="shared" ref="J2:J31" si="2">PRODUCT(DIVIDE(I2,H2))</f>
        <v>0.9405940594</v>
      </c>
      <c r="K2" s="1" t="s">
        <v>18</v>
      </c>
    </row>
    <row r="3" ht="22.5" customHeight="1">
      <c r="A3" s="6">
        <v>2.0</v>
      </c>
      <c r="B3" s="6" t="s">
        <v>19</v>
      </c>
      <c r="C3" s="6" t="s">
        <v>15</v>
      </c>
      <c r="D3" s="6" t="s">
        <v>16</v>
      </c>
      <c r="G3" s="11" t="s">
        <v>20</v>
      </c>
      <c r="H3" s="12">
        <f>IFERROR(__xludf.DUMMYFUNCTION("COUNTA(FILTER(B$2:B$1000, REGEXMATCH(B$2:B$1000, G3)))"),25.0)</f>
        <v>25</v>
      </c>
      <c r="I3" s="12">
        <f>IFERROR(__xludf.DUMMYFUNCTION("SUM(
  ARRAYFORMULA(
    (REGEXMATCH(B$2:B$1000, G3)) *
    (D$2:D$1000=""y"")
  )
)
"),25.0)</f>
        <v>25</v>
      </c>
      <c r="J3" s="13">
        <f t="shared" si="2"/>
        <v>1</v>
      </c>
    </row>
    <row r="4" ht="22.5" customHeight="1">
      <c r="A4" s="6">
        <v>3.0</v>
      </c>
      <c r="B4" s="6" t="s">
        <v>19</v>
      </c>
      <c r="C4" s="6" t="s">
        <v>15</v>
      </c>
      <c r="D4" s="6" t="s">
        <v>16</v>
      </c>
      <c r="G4" s="14" t="s">
        <v>21</v>
      </c>
      <c r="H4" s="15">
        <f>IFERROR(__xludf.DUMMYFUNCTION("COUNTA(FILTER(B$2:B$1000, REGEXMATCH(B$2:B$1000, G4)))"),14.0)</f>
        <v>14</v>
      </c>
      <c r="I4" s="15">
        <f>IFERROR(__xludf.DUMMYFUNCTION("SUM(
  ARRAYFORMULA(
    (REGEXMATCH(B$2:B$1000, G4)) *
    (D$2:D$1000=""y"")
  )
)
"),14.0)</f>
        <v>14</v>
      </c>
      <c r="J4" s="16">
        <f t="shared" si="2"/>
        <v>1</v>
      </c>
    </row>
    <row r="5" ht="22.5" customHeight="1">
      <c r="A5" s="6">
        <v>4.0</v>
      </c>
      <c r="B5" s="6" t="s">
        <v>22</v>
      </c>
      <c r="C5" s="6" t="s">
        <v>16</v>
      </c>
      <c r="D5" s="6" t="s">
        <v>16</v>
      </c>
      <c r="E5" s="17" t="s">
        <v>23</v>
      </c>
      <c r="G5" s="11" t="s">
        <v>24</v>
      </c>
      <c r="H5" s="12">
        <f>IFERROR(__xludf.DUMMYFUNCTION("COUNTA(FILTER(B$2:B$1000, REGEXMATCH(B$2:B$1000, G5)))"),10.0)</f>
        <v>10</v>
      </c>
      <c r="I5" s="12">
        <f>IFERROR(__xludf.DUMMYFUNCTION("SUM(
  ARRAYFORMULA(
    (REGEXMATCH(B$2:B$1000, G5)) *
    (D$2:D$1000=""y"")
  )
)
"),10.0)</f>
        <v>10</v>
      </c>
      <c r="J5" s="13">
        <f t="shared" si="2"/>
        <v>1</v>
      </c>
    </row>
    <row r="6" ht="22.5" customHeight="1">
      <c r="A6" s="6">
        <v>5.0</v>
      </c>
      <c r="B6" s="6" t="s">
        <v>25</v>
      </c>
      <c r="C6" s="6" t="s">
        <v>16</v>
      </c>
      <c r="D6" s="6" t="s">
        <v>16</v>
      </c>
      <c r="E6" s="17" t="s">
        <v>26</v>
      </c>
      <c r="G6" s="11" t="s">
        <v>27</v>
      </c>
      <c r="H6" s="12">
        <f>IFERROR(__xludf.DUMMYFUNCTION("COUNTA(FILTER(B$2:B$1000, REGEXMATCH(B$2:B$1000, G6)))"),9.0)</f>
        <v>9</v>
      </c>
      <c r="I6" s="12">
        <f>IFERROR(__xludf.DUMMYFUNCTION("SUM(
  ARRAYFORMULA(
    (REGEXMATCH(B$2:B$1000, G6)) *
    (D$2:D$1000=""y"")
  )
)
"),9.0)</f>
        <v>9</v>
      </c>
      <c r="J6" s="13">
        <f t="shared" si="2"/>
        <v>1</v>
      </c>
    </row>
    <row r="7" ht="22.5" customHeight="1">
      <c r="A7" s="6">
        <v>6.0</v>
      </c>
      <c r="B7" s="6" t="s">
        <v>28</v>
      </c>
      <c r="C7" s="6" t="s">
        <v>16</v>
      </c>
      <c r="D7" s="6" t="s">
        <v>16</v>
      </c>
      <c r="G7" s="18" t="s">
        <v>29</v>
      </c>
      <c r="H7" s="15">
        <f>IFERROR(__xludf.DUMMYFUNCTION("COUNTA(FILTER(B$2:B$1000, REGEXMATCH(B$2:B$1000, G7)))"),5.0)</f>
        <v>5</v>
      </c>
      <c r="I7" s="15">
        <f>IFERROR(__xludf.DUMMYFUNCTION("SUM(
  ARRAYFORMULA(
    (REGEXMATCH(B$2:B$1000, G7)) *
    (D$2:D$1000=""y"")
  )
)
"),5.0)</f>
        <v>5</v>
      </c>
      <c r="J7" s="16">
        <f t="shared" si="2"/>
        <v>1</v>
      </c>
    </row>
    <row r="8" ht="22.5" customHeight="1">
      <c r="A8" s="6">
        <v>7.0</v>
      </c>
      <c r="B8" s="6" t="s">
        <v>28</v>
      </c>
      <c r="C8" s="6" t="s">
        <v>16</v>
      </c>
      <c r="D8" s="6" t="s">
        <v>16</v>
      </c>
      <c r="E8" s="17" t="s">
        <v>30</v>
      </c>
      <c r="G8" s="18" t="s">
        <v>31</v>
      </c>
      <c r="H8" s="15">
        <f>IFERROR(__xludf.DUMMYFUNCTION("COUNTA(FILTER(B$2:B$1000, REGEXMATCH(B$2:B$1000, G8)))"),4.0)</f>
        <v>4</v>
      </c>
      <c r="I8" s="15">
        <f>IFERROR(__xludf.DUMMYFUNCTION("SUM(
  ARRAYFORMULA(
    (REGEXMATCH(B$2:B$1000, G8)) *
    (D$2:D$1000=""y"")
  )
)
"),4.0)</f>
        <v>4</v>
      </c>
      <c r="J8" s="16">
        <f t="shared" si="2"/>
        <v>1</v>
      </c>
    </row>
    <row r="9" ht="22.5" customHeight="1">
      <c r="A9" s="6">
        <v>8.0</v>
      </c>
      <c r="B9" s="6" t="s">
        <v>20</v>
      </c>
      <c r="C9" s="6" t="s">
        <v>16</v>
      </c>
      <c r="D9" s="6" t="s">
        <v>16</v>
      </c>
      <c r="G9" s="18" t="s">
        <v>19</v>
      </c>
      <c r="H9" s="15">
        <f>IFERROR(__xludf.DUMMYFUNCTION("COUNTA(FILTER(B$2:B$1000, REGEXMATCH(B$2:B$1000, G9)))"),2.0)</f>
        <v>2</v>
      </c>
      <c r="I9" s="15">
        <f>IFERROR(__xludf.DUMMYFUNCTION("SUM(
  ARRAYFORMULA(
    (REGEXMATCH(B$2:B$1000, G9)) *
    (D$2:D$1000=""y"")
  )
)
"),2.0)</f>
        <v>2</v>
      </c>
      <c r="J9" s="16">
        <f t="shared" si="2"/>
        <v>1</v>
      </c>
    </row>
    <row r="10" ht="22.5" customHeight="1">
      <c r="A10" s="6">
        <v>9.0</v>
      </c>
      <c r="B10" s="6" t="s">
        <v>32</v>
      </c>
      <c r="C10" s="6" t="s">
        <v>16</v>
      </c>
      <c r="D10" s="6" t="s">
        <v>15</v>
      </c>
      <c r="E10" s="17" t="s">
        <v>33</v>
      </c>
      <c r="G10" s="18" t="s">
        <v>34</v>
      </c>
      <c r="H10" s="15">
        <f>IFERROR(__xludf.DUMMYFUNCTION("COUNTA(FILTER(B$2:B$1000, REGEXMATCH(B$2:B$1000, G10)))"),2.0)</f>
        <v>2</v>
      </c>
      <c r="I10" s="15">
        <f>IFERROR(__xludf.DUMMYFUNCTION("SUM(
  ARRAYFORMULA(
    (REGEXMATCH(B$2:B$1000, G10)) *
    (D$2:D$1000=""y"")
  )
)
"),1.0)</f>
        <v>1</v>
      </c>
      <c r="J10" s="16">
        <f t="shared" si="2"/>
        <v>0.5</v>
      </c>
    </row>
    <row r="11" ht="22.5" customHeight="1">
      <c r="A11" s="6">
        <v>10.0</v>
      </c>
      <c r="B11" s="6" t="s">
        <v>35</v>
      </c>
      <c r="C11" s="6" t="s">
        <v>15</v>
      </c>
      <c r="D11" s="6" t="s">
        <v>16</v>
      </c>
      <c r="G11" s="18" t="s">
        <v>35</v>
      </c>
      <c r="H11" s="15">
        <f>IFERROR(__xludf.DUMMYFUNCTION("COUNTA(FILTER(B$2:B$1000, REGEXMATCH(B$2:B$1000, G11)))"),2.0)</f>
        <v>2</v>
      </c>
      <c r="I11" s="15">
        <f>IFERROR(__xludf.DUMMYFUNCTION("SUM(
  ARRAYFORMULA(
    (REGEXMATCH(B$2:B$1000, G11)) *
    (D$2:D$1000=""y"")
  )
)
"),2.0)</f>
        <v>2</v>
      </c>
      <c r="J11" s="16">
        <f t="shared" si="2"/>
        <v>1</v>
      </c>
    </row>
    <row r="12" ht="22.5" customHeight="1">
      <c r="A12" s="6">
        <v>11.0</v>
      </c>
      <c r="B12" s="6" t="s">
        <v>36</v>
      </c>
      <c r="C12" s="6" t="s">
        <v>16</v>
      </c>
      <c r="D12" s="6" t="s">
        <v>15</v>
      </c>
      <c r="E12" s="17" t="s">
        <v>37</v>
      </c>
      <c r="G12" s="19" t="s">
        <v>38</v>
      </c>
      <c r="H12" s="12">
        <f>IFERROR(__xludf.DUMMYFUNCTION("COUNTA(FILTER(B$2:B$1000, REGEXMATCH(B$2:B$1000, G12)))"),2.0)</f>
        <v>2</v>
      </c>
      <c r="I12" s="12">
        <f>IFERROR(__xludf.DUMMYFUNCTION("SUM(
  ARRAYFORMULA(
    (REGEXMATCH(B$2:B$1000, G12)) *
    (D$2:D$1000=""y"")
  )
)
"),2.0)</f>
        <v>2</v>
      </c>
      <c r="J12" s="13">
        <f t="shared" si="2"/>
        <v>1</v>
      </c>
    </row>
    <row r="13" ht="22.5" customHeight="1">
      <c r="A13" s="6">
        <v>12.0</v>
      </c>
      <c r="B13" s="6" t="s">
        <v>39</v>
      </c>
      <c r="C13" s="6" t="s">
        <v>15</v>
      </c>
      <c r="D13" s="6" t="s">
        <v>16</v>
      </c>
      <c r="G13" s="18" t="s">
        <v>40</v>
      </c>
      <c r="H13" s="15">
        <f>IFERROR(__xludf.DUMMYFUNCTION("COUNTA(FILTER(B$2:B$1000, REGEXMATCH(B$2:B$1000, G13)))"),2.0)</f>
        <v>2</v>
      </c>
      <c r="I13" s="15">
        <f>IFERROR(__xludf.DUMMYFUNCTION("SUM(
  ARRAYFORMULA(
    (REGEXMATCH(B$2:B$1000, G13)) *
    (D$2:D$1000=""y"")
  )
)
"),1.0)</f>
        <v>1</v>
      </c>
      <c r="J13" s="16">
        <f t="shared" si="2"/>
        <v>0.5</v>
      </c>
    </row>
    <row r="14" ht="22.5" customHeight="1">
      <c r="A14" s="6">
        <v>13.0</v>
      </c>
      <c r="B14" s="6" t="s">
        <v>41</v>
      </c>
      <c r="C14" s="6" t="s">
        <v>16</v>
      </c>
      <c r="D14" s="6" t="s">
        <v>16</v>
      </c>
      <c r="E14" s="17" t="s">
        <v>42</v>
      </c>
      <c r="F14" s="20"/>
      <c r="G14" s="21" t="s">
        <v>43</v>
      </c>
      <c r="H14" s="15">
        <f>IFERROR(__xludf.DUMMYFUNCTION("COUNTA(FILTER(B$2:B$1000, REGEXMATCH(B$2:B$1000, G14)))"),2.0)</f>
        <v>2</v>
      </c>
      <c r="I14" s="15">
        <f>IFERROR(__xludf.DUMMYFUNCTION("SUM(
  ARRAYFORMULA(
    (REGEXMATCH(B$2:B$1000, G14)) *
    (D$2:D$1000=""y"")
  )
)
"),2.0)</f>
        <v>2</v>
      </c>
      <c r="J14" s="16">
        <f t="shared" si="2"/>
        <v>1</v>
      </c>
    </row>
    <row r="15" ht="22.5" customHeight="1">
      <c r="A15" s="6">
        <v>14.0</v>
      </c>
      <c r="B15" s="6" t="s">
        <v>44</v>
      </c>
      <c r="C15" s="6" t="s">
        <v>16</v>
      </c>
      <c r="D15" s="6" t="s">
        <v>16</v>
      </c>
      <c r="F15" s="20"/>
      <c r="G15" s="11" t="s">
        <v>45</v>
      </c>
      <c r="H15" s="12">
        <f>IFERROR(__xludf.DUMMYFUNCTION("COUNTA(FILTER(B$2:B$1000, REGEXMATCH(B$2:B$1000, G15)))"),2.0)</f>
        <v>2</v>
      </c>
      <c r="I15" s="12">
        <f>IFERROR(__xludf.DUMMYFUNCTION("SUM(
  ARRAYFORMULA(
    (REGEXMATCH(B$2:B$1000, G15)) *
    (D$2:D$1000=""y"")
  )
)
"),2.0)</f>
        <v>2</v>
      </c>
      <c r="J15" s="13">
        <f t="shared" si="2"/>
        <v>1</v>
      </c>
    </row>
    <row r="16" ht="22.5" customHeight="1">
      <c r="A16" s="6">
        <v>15.0</v>
      </c>
      <c r="B16" s="6" t="s">
        <v>46</v>
      </c>
      <c r="C16" s="6" t="s">
        <v>15</v>
      </c>
      <c r="D16" s="6" t="s">
        <v>16</v>
      </c>
      <c r="F16" s="20"/>
      <c r="G16" s="18" t="s">
        <v>47</v>
      </c>
      <c r="H16" s="15">
        <f>IFERROR(__xludf.DUMMYFUNCTION("COUNTA(FILTER(B$2:B$1000, REGEXMATCH(B$2:B$1000, G16)))"),2.0)</f>
        <v>2</v>
      </c>
      <c r="I16" s="15">
        <f>IFERROR(__xludf.DUMMYFUNCTION("SUM(
  ARRAYFORMULA(
    (REGEXMATCH(B$2:B$1000, G16)) *
    (D$2:D$1000=""y"")
  )
)
"),1.0)</f>
        <v>1</v>
      </c>
      <c r="J16" s="16">
        <f t="shared" si="2"/>
        <v>0.5</v>
      </c>
    </row>
    <row r="17" ht="22.5" customHeight="1">
      <c r="A17" s="6">
        <v>16.0</v>
      </c>
      <c r="B17" s="6" t="s">
        <v>20</v>
      </c>
      <c r="C17" s="6" t="s">
        <v>16</v>
      </c>
      <c r="D17" s="6" t="s">
        <v>16</v>
      </c>
      <c r="F17" s="20"/>
      <c r="G17" s="11" t="s">
        <v>39</v>
      </c>
      <c r="H17" s="12">
        <f>IFERROR(__xludf.DUMMYFUNCTION("COUNTA(FILTER(B$2:B$1000, REGEXMATCH(B$2:B$1000, G17)))"),2.0)</f>
        <v>2</v>
      </c>
      <c r="I17" s="12">
        <f>IFERROR(__xludf.DUMMYFUNCTION("SUM(
  ARRAYFORMULA(
    (REGEXMATCH(B$2:B$1000, G17)) *
    (D$2:D$1000=""y"")
  )
)
"),2.0)</f>
        <v>2</v>
      </c>
      <c r="J17" s="13">
        <f t="shared" si="2"/>
        <v>1</v>
      </c>
    </row>
    <row r="18" ht="22.5" customHeight="1">
      <c r="A18" s="6">
        <v>17.0</v>
      </c>
      <c r="B18" s="6" t="s">
        <v>48</v>
      </c>
      <c r="C18" s="6" t="s">
        <v>16</v>
      </c>
      <c r="D18" s="6" t="s">
        <v>16</v>
      </c>
      <c r="F18" s="20"/>
      <c r="G18" s="18" t="s">
        <v>48</v>
      </c>
      <c r="H18" s="15">
        <f>IFERROR(__xludf.DUMMYFUNCTION("COUNTA(FILTER(B$2:B$1000, REGEXMATCH(B$2:B$1000, G18)))"),2.0)</f>
        <v>2</v>
      </c>
      <c r="I18" s="15">
        <f>IFERROR(__xludf.DUMMYFUNCTION("SUM(
  ARRAYFORMULA(
    (REGEXMATCH(B$2:B$1000, G18)) *
    (D$2:D$1000=""y"")
  )
)
"),2.0)</f>
        <v>2</v>
      </c>
      <c r="J18" s="16">
        <f t="shared" si="2"/>
        <v>1</v>
      </c>
    </row>
    <row r="19" ht="22.5" customHeight="1">
      <c r="A19" s="6">
        <v>18.0</v>
      </c>
      <c r="B19" s="6" t="s">
        <v>20</v>
      </c>
      <c r="C19" s="6" t="s">
        <v>16</v>
      </c>
      <c r="D19" s="6" t="s">
        <v>16</v>
      </c>
      <c r="F19" s="20"/>
      <c r="G19" s="18" t="s">
        <v>14</v>
      </c>
      <c r="H19" s="15">
        <f>IFERROR(__xludf.DUMMYFUNCTION("COUNTA(FILTER(B$2:B$1000, REGEXMATCH(B$2:B$1000, G19)))"),2.0)</f>
        <v>2</v>
      </c>
      <c r="I19" s="15">
        <f>IFERROR(__xludf.DUMMYFUNCTION("SUM(
  ARRAYFORMULA(
    (REGEXMATCH(B$2:B$1000, G19)) *
    (D$2:D$1000=""y"")
  )
)
"),2.0)</f>
        <v>2</v>
      </c>
      <c r="J19" s="16">
        <f t="shared" si="2"/>
        <v>1</v>
      </c>
    </row>
    <row r="20" ht="22.5" customHeight="1">
      <c r="A20" s="6">
        <v>19.0</v>
      </c>
      <c r="B20" s="6" t="s">
        <v>20</v>
      </c>
      <c r="C20" s="6" t="s">
        <v>16</v>
      </c>
      <c r="D20" s="6" t="s">
        <v>16</v>
      </c>
      <c r="F20" s="20"/>
      <c r="G20" s="11" t="s">
        <v>49</v>
      </c>
      <c r="H20" s="12">
        <f>IFERROR(__xludf.DUMMYFUNCTION("COUNTA(FILTER(B$2:B$1000, REGEXMATCH(B$2:B$1000, G20)))"),1.0)</f>
        <v>1</v>
      </c>
      <c r="I20" s="12">
        <f>IFERROR(__xludf.DUMMYFUNCTION("SUM(
  ARRAYFORMULA(
    (REGEXMATCH(B$2:B$1000, G20)) *
    (D$2:D$1000=""y"")
  )
)
"),0.0)</f>
        <v>0</v>
      </c>
      <c r="J20" s="13">
        <f t="shared" si="2"/>
        <v>0</v>
      </c>
    </row>
    <row r="21" ht="22.5" customHeight="1">
      <c r="A21" s="6">
        <v>20.0</v>
      </c>
      <c r="B21" s="6" t="s">
        <v>20</v>
      </c>
      <c r="C21" s="6" t="s">
        <v>16</v>
      </c>
      <c r="D21" s="6" t="s">
        <v>16</v>
      </c>
      <c r="F21" s="20"/>
      <c r="G21" s="11" t="s">
        <v>50</v>
      </c>
      <c r="H21" s="12">
        <f>IFERROR(__xludf.DUMMYFUNCTION("COUNTA(FILTER(B$2:B$1000, REGEXMATCH(B$2:B$1000, G21)))"),1.0)</f>
        <v>1</v>
      </c>
      <c r="I21" s="12">
        <f>IFERROR(__xludf.DUMMYFUNCTION("SUM(
  ARRAYFORMULA(
    (REGEXMATCH(B$2:B$1000, G21)) *
    (D$2:D$1000=""y"")
  )
)
"),1.0)</f>
        <v>1</v>
      </c>
      <c r="J21" s="13">
        <f t="shared" si="2"/>
        <v>1</v>
      </c>
    </row>
    <row r="22" ht="22.5" customHeight="1">
      <c r="A22" s="6">
        <v>21.0</v>
      </c>
      <c r="B22" s="6" t="s">
        <v>20</v>
      </c>
      <c r="C22" s="6" t="s">
        <v>16</v>
      </c>
      <c r="D22" s="6" t="s">
        <v>16</v>
      </c>
      <c r="F22" s="20"/>
      <c r="G22" s="11" t="s">
        <v>51</v>
      </c>
      <c r="H22" s="12">
        <f>IFERROR(__xludf.DUMMYFUNCTION("COUNTA(FILTER(B$2:B$1000, REGEXMATCH(B$2:B$1000, G22)))"),1.0)</f>
        <v>1</v>
      </c>
      <c r="I22" s="12">
        <f>IFERROR(__xludf.DUMMYFUNCTION("SUM(
  ARRAYFORMULA(
    (REGEXMATCH(B$2:B$1000, G22)) *
    (D$2:D$1000=""y"")
  )
)
"),1.0)</f>
        <v>1</v>
      </c>
      <c r="J22" s="13">
        <f t="shared" si="2"/>
        <v>1</v>
      </c>
    </row>
    <row r="23" ht="22.5" customHeight="1">
      <c r="A23" s="6">
        <v>22.0</v>
      </c>
      <c r="B23" s="6" t="s">
        <v>20</v>
      </c>
      <c r="C23" s="6" t="s">
        <v>16</v>
      </c>
      <c r="D23" s="6" t="s">
        <v>16</v>
      </c>
      <c r="F23" s="20"/>
      <c r="G23" s="11" t="s">
        <v>52</v>
      </c>
      <c r="H23" s="12">
        <f>IFERROR(__xludf.DUMMYFUNCTION("COUNTA(FILTER(B$2:B$1000, REGEXMATCH(B$2:B$1000, G23)))"),1.0)</f>
        <v>1</v>
      </c>
      <c r="I23" s="12">
        <f>IFERROR(__xludf.DUMMYFUNCTION("SUM(
  ARRAYFORMULA(
    (REGEXMATCH(B$2:B$1000, G23)) *
    (D$2:D$1000=""y"")
  )
)
"),1.0)</f>
        <v>1</v>
      </c>
      <c r="J23" s="13">
        <f t="shared" si="2"/>
        <v>1</v>
      </c>
    </row>
    <row r="24" ht="22.5" customHeight="1">
      <c r="A24" s="6">
        <v>23.0</v>
      </c>
      <c r="B24" s="6" t="s">
        <v>20</v>
      </c>
      <c r="C24" s="6" t="s">
        <v>16</v>
      </c>
      <c r="D24" s="6" t="s">
        <v>16</v>
      </c>
      <c r="F24" s="20"/>
      <c r="G24" s="11" t="s">
        <v>25</v>
      </c>
      <c r="H24" s="12">
        <f>IFERROR(__xludf.DUMMYFUNCTION("COUNTA(FILTER(B$2:B$1000, REGEXMATCH(B$2:B$1000, G24)))"),1.0)</f>
        <v>1</v>
      </c>
      <c r="I24" s="12">
        <f>IFERROR(__xludf.DUMMYFUNCTION("SUM(
  ARRAYFORMULA(
    (REGEXMATCH(B$2:B$1000, G24)) *
    (D$2:D$1000=""y"")
  )
)
"),1.0)</f>
        <v>1</v>
      </c>
      <c r="J24" s="13">
        <f t="shared" si="2"/>
        <v>1</v>
      </c>
    </row>
    <row r="25" ht="22.5" customHeight="1">
      <c r="A25" s="6">
        <v>24.0</v>
      </c>
      <c r="B25" s="6" t="s">
        <v>20</v>
      </c>
      <c r="C25" s="6" t="s">
        <v>16</v>
      </c>
      <c r="D25" s="6" t="s">
        <v>16</v>
      </c>
      <c r="F25" s="20"/>
      <c r="G25" s="18" t="s">
        <v>53</v>
      </c>
      <c r="H25" s="15">
        <f>IFERROR(__xludf.DUMMYFUNCTION("COUNTA(FILTER(B$2:B$1000, REGEXMATCH(B$2:B$1000, G25)))"),1.0)</f>
        <v>1</v>
      </c>
      <c r="I25" s="15">
        <f>IFERROR(__xludf.DUMMYFUNCTION("SUM(
  ARRAYFORMULA(
    (REGEXMATCH(B$2:B$1000, G25)) *
    (D$2:D$1000=""y"")
  )
)
"),1.0)</f>
        <v>1</v>
      </c>
      <c r="J25" s="16">
        <f t="shared" si="2"/>
        <v>1</v>
      </c>
    </row>
    <row r="26" ht="22.5" customHeight="1">
      <c r="A26" s="6">
        <v>25.0</v>
      </c>
      <c r="B26" s="6" t="s">
        <v>20</v>
      </c>
      <c r="C26" s="6" t="s">
        <v>16</v>
      </c>
      <c r="D26" s="6" t="s">
        <v>16</v>
      </c>
      <c r="F26" s="20"/>
      <c r="G26" s="11" t="s">
        <v>54</v>
      </c>
      <c r="H26" s="12">
        <f>IFERROR(__xludf.DUMMYFUNCTION("COUNTA(FILTER(B$2:B$1000, REGEXMATCH(B$2:B$1000, G26)))"),1.0)</f>
        <v>1</v>
      </c>
      <c r="I26" s="12">
        <f>IFERROR(__xludf.DUMMYFUNCTION("SUM(
  ARRAYFORMULA(
    (REGEXMATCH(B$2:B$1000, G26)) *
    (D$2:D$1000=""y"")
  )
)
"),1.0)</f>
        <v>1</v>
      </c>
      <c r="J26" s="13">
        <f t="shared" si="2"/>
        <v>1</v>
      </c>
    </row>
    <row r="27" ht="22.5" customHeight="1">
      <c r="A27" s="6">
        <v>26.0</v>
      </c>
      <c r="B27" s="6" t="s">
        <v>20</v>
      </c>
      <c r="C27" s="6" t="s">
        <v>16</v>
      </c>
      <c r="D27" s="6" t="s">
        <v>16</v>
      </c>
      <c r="F27" s="20"/>
      <c r="G27" s="18" t="s">
        <v>36</v>
      </c>
      <c r="H27" s="15">
        <f>IFERROR(__xludf.DUMMYFUNCTION("COUNTA(FILTER(B$2:B$1000, REGEXMATCH(B$2:B$1000, G27)))"),1.0)</f>
        <v>1</v>
      </c>
      <c r="I27" s="15">
        <f>IFERROR(__xludf.DUMMYFUNCTION("SUM(
  ARRAYFORMULA(
    (REGEXMATCH(B$2:B$1000, G27)) *
    (D$2:D$1000=""y"")
  )
)
"),0.0)</f>
        <v>0</v>
      </c>
      <c r="J27" s="16">
        <f t="shared" si="2"/>
        <v>0</v>
      </c>
    </row>
    <row r="28" ht="22.5" customHeight="1">
      <c r="A28" s="6">
        <v>27.0</v>
      </c>
      <c r="B28" s="6" t="s">
        <v>20</v>
      </c>
      <c r="C28" s="6" t="s">
        <v>16</v>
      </c>
      <c r="D28" s="6" t="s">
        <v>16</v>
      </c>
      <c r="F28" s="20"/>
      <c r="G28" s="11" t="s">
        <v>41</v>
      </c>
      <c r="H28" s="12">
        <f>IFERROR(__xludf.DUMMYFUNCTION("COUNTA(FILTER(B$2:B$1000, REGEXMATCH(B$2:B$1000, G28)))"),1.0)</f>
        <v>1</v>
      </c>
      <c r="I28" s="12">
        <f>IFERROR(__xludf.DUMMYFUNCTION("SUM(
  ARRAYFORMULA(
    (REGEXMATCH(B$2:B$1000, G28)) *
    (D$2:D$1000=""y"")
  )
)
"),1.0)</f>
        <v>1</v>
      </c>
      <c r="J28" s="13">
        <f t="shared" si="2"/>
        <v>1</v>
      </c>
    </row>
    <row r="29" ht="22.5" customHeight="1">
      <c r="A29" s="6">
        <v>28.0</v>
      </c>
      <c r="B29" s="6" t="s">
        <v>35</v>
      </c>
      <c r="C29" s="6" t="s">
        <v>15</v>
      </c>
      <c r="D29" s="6" t="s">
        <v>16</v>
      </c>
      <c r="F29" s="20"/>
      <c r="G29" s="18" t="s">
        <v>22</v>
      </c>
      <c r="H29" s="15">
        <f>IFERROR(__xludf.DUMMYFUNCTION("COUNTA(FILTER(B$2:B$1000, REGEXMATCH(B$2:B$1000, G29)))"),1.0)</f>
        <v>1</v>
      </c>
      <c r="I29" s="15">
        <f>IFERROR(__xludf.DUMMYFUNCTION("SUM(
  ARRAYFORMULA(
    (REGEXMATCH(B$2:B$1000, G29)) *
    (D$2:D$1000=""y"")
  )
)
"),1.0)</f>
        <v>1</v>
      </c>
      <c r="J29" s="16">
        <f t="shared" si="2"/>
        <v>1</v>
      </c>
    </row>
    <row r="30" ht="22.5" customHeight="1">
      <c r="A30" s="6">
        <v>29.0</v>
      </c>
      <c r="B30" s="6" t="s">
        <v>53</v>
      </c>
      <c r="C30" s="6" t="s">
        <v>15</v>
      </c>
      <c r="D30" s="6" t="s">
        <v>16</v>
      </c>
      <c r="F30" s="20"/>
      <c r="G30" s="11" t="s">
        <v>55</v>
      </c>
      <c r="H30" s="12">
        <f>IFERROR(__xludf.DUMMYFUNCTION("COUNTA(FILTER(B$2:B$1000, REGEXMATCH(B$2:B$1000, G30)))"),1.0)</f>
        <v>1</v>
      </c>
      <c r="I30" s="12">
        <f>IFERROR(__xludf.DUMMYFUNCTION("SUM(
  ARRAYFORMULA(
    (REGEXMATCH(B$2:B$1000, G30)) *
    (D$2:D$1000=""y"")
  )
)
"),0.0)</f>
        <v>0</v>
      </c>
      <c r="J30" s="13">
        <f t="shared" si="2"/>
        <v>0</v>
      </c>
    </row>
    <row r="31" ht="22.5" customHeight="1">
      <c r="A31" s="6">
        <v>30.0</v>
      </c>
      <c r="B31" s="6" t="s">
        <v>55</v>
      </c>
      <c r="C31" s="6" t="s">
        <v>15</v>
      </c>
      <c r="D31" s="6" t="s">
        <v>15</v>
      </c>
      <c r="E31" s="17" t="s">
        <v>56</v>
      </c>
      <c r="F31" s="20"/>
      <c r="G31" s="18" t="s">
        <v>57</v>
      </c>
      <c r="H31" s="15">
        <f>IFERROR(__xludf.DUMMYFUNCTION("COUNTA(FILTER(B$2:B$1000, REGEXMATCH(B$2:B$1000, G31)))"),1.0)</f>
        <v>1</v>
      </c>
      <c r="I31" s="15">
        <f>IFERROR(__xludf.DUMMYFUNCTION("SUM(
  ARRAYFORMULA(
    (REGEXMATCH(B$2:B$1000, G31)) *
    (D$2:D$1000=""y"")
  )
)
"),1.0)</f>
        <v>1</v>
      </c>
      <c r="J31" s="16">
        <f t="shared" si="2"/>
        <v>1</v>
      </c>
    </row>
    <row r="32" ht="22.5" customHeight="1">
      <c r="A32" s="6">
        <v>31.0</v>
      </c>
      <c r="B32" s="6" t="s">
        <v>20</v>
      </c>
      <c r="C32" s="6" t="s">
        <v>16</v>
      </c>
      <c r="D32" s="6" t="s">
        <v>16</v>
      </c>
      <c r="F32" s="20"/>
      <c r="G32" s="22"/>
      <c r="H32" s="22"/>
      <c r="I32" s="22"/>
      <c r="J32" s="23"/>
    </row>
    <row r="33" ht="22.5" customHeight="1">
      <c r="A33" s="6">
        <v>32.0</v>
      </c>
      <c r="B33" s="6" t="s">
        <v>20</v>
      </c>
      <c r="C33" s="6" t="s">
        <v>16</v>
      </c>
      <c r="D33" s="6" t="s">
        <v>16</v>
      </c>
      <c r="F33" s="20"/>
      <c r="G33" s="24"/>
      <c r="H33" s="24"/>
      <c r="I33" s="24"/>
      <c r="J33" s="25"/>
    </row>
    <row r="34" ht="22.5" customHeight="1">
      <c r="A34" s="6">
        <v>33.0</v>
      </c>
      <c r="B34" s="6" t="s">
        <v>20</v>
      </c>
      <c r="C34" s="6" t="s">
        <v>16</v>
      </c>
      <c r="D34" s="6" t="s">
        <v>16</v>
      </c>
      <c r="F34" s="20"/>
      <c r="G34" s="26"/>
      <c r="H34" s="26"/>
      <c r="I34" s="26"/>
      <c r="J34" s="27"/>
    </row>
    <row r="35" ht="22.5" customHeight="1">
      <c r="A35" s="6">
        <v>34.0</v>
      </c>
      <c r="B35" s="6" t="s">
        <v>20</v>
      </c>
      <c r="C35" s="6" t="s">
        <v>16</v>
      </c>
      <c r="D35" s="6" t="s">
        <v>16</v>
      </c>
      <c r="F35" s="20"/>
      <c r="G35" s="24"/>
      <c r="H35" s="24"/>
      <c r="I35" s="24"/>
      <c r="J35" s="25"/>
    </row>
    <row r="36" ht="22.5" customHeight="1">
      <c r="A36" s="6">
        <v>35.0</v>
      </c>
      <c r="B36" s="6" t="s">
        <v>20</v>
      </c>
      <c r="C36" s="6" t="s">
        <v>16</v>
      </c>
      <c r="D36" s="6" t="s">
        <v>16</v>
      </c>
      <c r="F36" s="20"/>
      <c r="G36" s="26"/>
      <c r="H36" s="26"/>
      <c r="I36" s="26"/>
      <c r="J36" s="27"/>
    </row>
    <row r="37" ht="22.5" customHeight="1">
      <c r="A37" s="6">
        <v>36.0</v>
      </c>
      <c r="B37" s="6" t="s">
        <v>20</v>
      </c>
      <c r="C37" s="6" t="s">
        <v>16</v>
      </c>
      <c r="D37" s="6" t="s">
        <v>16</v>
      </c>
      <c r="F37" s="20"/>
      <c r="G37" s="28"/>
      <c r="H37" s="24"/>
      <c r="I37" s="24"/>
      <c r="J37" s="25"/>
    </row>
    <row r="38" ht="22.5" customHeight="1">
      <c r="A38" s="6">
        <v>37.0</v>
      </c>
      <c r="B38" s="6" t="s">
        <v>20</v>
      </c>
      <c r="C38" s="6" t="s">
        <v>16</v>
      </c>
      <c r="D38" s="6" t="s">
        <v>16</v>
      </c>
      <c r="F38" s="20"/>
      <c r="G38" s="20"/>
      <c r="H38" s="20"/>
      <c r="I38" s="20"/>
    </row>
    <row r="39" ht="22.5" customHeight="1">
      <c r="A39" s="6">
        <v>38.0</v>
      </c>
      <c r="B39" s="6" t="s">
        <v>20</v>
      </c>
      <c r="C39" s="6" t="s">
        <v>16</v>
      </c>
      <c r="D39" s="6" t="s">
        <v>16</v>
      </c>
      <c r="F39" s="20"/>
      <c r="G39" s="20"/>
      <c r="H39" s="20"/>
      <c r="I39" s="20"/>
    </row>
    <row r="40" ht="22.5" customHeight="1">
      <c r="A40" s="6">
        <v>39.0</v>
      </c>
      <c r="B40" s="6" t="s">
        <v>20</v>
      </c>
      <c r="C40" s="6" t="s">
        <v>16</v>
      </c>
      <c r="D40" s="6" t="s">
        <v>16</v>
      </c>
      <c r="F40" s="20"/>
      <c r="G40" s="20"/>
      <c r="H40" s="20"/>
      <c r="I40" s="20"/>
    </row>
    <row r="41" ht="22.5" customHeight="1">
      <c r="A41" s="6">
        <v>40.0</v>
      </c>
      <c r="B41" s="6" t="s">
        <v>20</v>
      </c>
      <c r="C41" s="6" t="s">
        <v>16</v>
      </c>
      <c r="D41" s="6" t="s">
        <v>16</v>
      </c>
      <c r="F41" s="20"/>
      <c r="G41" s="20"/>
      <c r="H41" s="20"/>
      <c r="I41" s="20"/>
    </row>
    <row r="42" ht="22.5" customHeight="1">
      <c r="A42" s="6">
        <v>41.0</v>
      </c>
      <c r="B42" s="6" t="s">
        <v>21</v>
      </c>
      <c r="C42" s="6" t="s">
        <v>16</v>
      </c>
      <c r="D42" s="6" t="s">
        <v>16</v>
      </c>
      <c r="F42" s="20"/>
      <c r="G42" s="20"/>
      <c r="H42" s="20"/>
      <c r="I42" s="20"/>
    </row>
    <row r="43" ht="22.5" customHeight="1">
      <c r="A43" s="6">
        <v>42.0</v>
      </c>
      <c r="B43" s="6" t="s">
        <v>21</v>
      </c>
      <c r="C43" s="6" t="s">
        <v>16</v>
      </c>
      <c r="D43" s="6" t="s">
        <v>16</v>
      </c>
      <c r="F43" s="20"/>
      <c r="G43" s="20"/>
      <c r="H43" s="20"/>
      <c r="I43" s="20"/>
    </row>
    <row r="44" ht="22.5" customHeight="1">
      <c r="A44" s="6">
        <v>43.0</v>
      </c>
      <c r="B44" s="6" t="s">
        <v>21</v>
      </c>
      <c r="C44" s="6" t="s">
        <v>16</v>
      </c>
      <c r="D44" s="6" t="s">
        <v>16</v>
      </c>
      <c r="F44" s="20"/>
      <c r="G44" s="20"/>
      <c r="H44" s="20"/>
      <c r="I44" s="20"/>
    </row>
    <row r="45" ht="22.5" customHeight="1">
      <c r="A45" s="6">
        <v>44.0</v>
      </c>
      <c r="B45" s="6" t="s">
        <v>21</v>
      </c>
      <c r="C45" s="6" t="s">
        <v>16</v>
      </c>
      <c r="D45" s="6" t="s">
        <v>16</v>
      </c>
      <c r="F45" s="20"/>
      <c r="G45" s="20"/>
      <c r="H45" s="20"/>
      <c r="I45" s="20"/>
    </row>
    <row r="46" ht="22.5" customHeight="1">
      <c r="A46" s="6">
        <v>45.0</v>
      </c>
      <c r="B46" s="6" t="s">
        <v>21</v>
      </c>
      <c r="C46" s="6" t="s">
        <v>16</v>
      </c>
      <c r="D46" s="6" t="s">
        <v>16</v>
      </c>
      <c r="F46" s="20"/>
      <c r="G46" s="20"/>
      <c r="H46" s="20"/>
      <c r="I46" s="20"/>
    </row>
    <row r="47" ht="22.5" customHeight="1">
      <c r="A47" s="6">
        <v>46.0</v>
      </c>
      <c r="B47" s="6" t="s">
        <v>57</v>
      </c>
      <c r="C47" s="6" t="s">
        <v>15</v>
      </c>
      <c r="D47" s="6" t="s">
        <v>16</v>
      </c>
      <c r="F47" s="20"/>
      <c r="G47" s="20"/>
      <c r="H47" s="20"/>
      <c r="I47" s="20"/>
    </row>
    <row r="48" ht="22.5" customHeight="1">
      <c r="A48" s="6">
        <v>47.0</v>
      </c>
      <c r="B48" s="6" t="s">
        <v>21</v>
      </c>
      <c r="C48" s="6" t="s">
        <v>16</v>
      </c>
      <c r="D48" s="6" t="s">
        <v>16</v>
      </c>
      <c r="F48" s="20"/>
      <c r="G48" s="20"/>
      <c r="H48" s="20"/>
      <c r="I48" s="20"/>
    </row>
    <row r="49" ht="22.5" customHeight="1">
      <c r="A49" s="6">
        <v>48.0</v>
      </c>
      <c r="B49" s="6" t="s">
        <v>21</v>
      </c>
      <c r="C49" s="6" t="s">
        <v>16</v>
      </c>
      <c r="D49" s="6" t="s">
        <v>16</v>
      </c>
      <c r="F49" s="20"/>
      <c r="G49" s="20"/>
      <c r="H49" s="20"/>
      <c r="I49" s="20"/>
    </row>
    <row r="50" ht="22.5" customHeight="1">
      <c r="A50" s="6">
        <v>49.0</v>
      </c>
      <c r="B50" s="6" t="s">
        <v>21</v>
      </c>
      <c r="C50" s="6" t="s">
        <v>16</v>
      </c>
      <c r="D50" s="6" t="s">
        <v>16</v>
      </c>
      <c r="F50" s="20"/>
      <c r="G50" s="20"/>
      <c r="H50" s="20"/>
      <c r="I50" s="20"/>
    </row>
    <row r="51" ht="22.5" customHeight="1">
      <c r="A51" s="6">
        <v>50.0</v>
      </c>
      <c r="B51" s="6" t="s">
        <v>21</v>
      </c>
      <c r="C51" s="6" t="s">
        <v>16</v>
      </c>
      <c r="D51" s="6" t="s">
        <v>16</v>
      </c>
    </row>
    <row r="52" ht="22.5" customHeight="1">
      <c r="A52" s="6">
        <v>51.0</v>
      </c>
      <c r="B52" s="6" t="s">
        <v>21</v>
      </c>
      <c r="C52" s="6" t="s">
        <v>16</v>
      </c>
      <c r="D52" s="6" t="s">
        <v>16</v>
      </c>
    </row>
    <row r="53" ht="22.5" customHeight="1">
      <c r="A53" s="6">
        <v>52.0</v>
      </c>
      <c r="B53" s="6" t="s">
        <v>21</v>
      </c>
      <c r="C53" s="6" t="s">
        <v>16</v>
      </c>
      <c r="D53" s="6" t="s">
        <v>16</v>
      </c>
    </row>
    <row r="54" ht="22.5" customHeight="1">
      <c r="A54" s="6">
        <v>53.0</v>
      </c>
      <c r="B54" s="6" t="s">
        <v>58</v>
      </c>
      <c r="C54" s="6" t="s">
        <v>15</v>
      </c>
      <c r="D54" s="6" t="s">
        <v>16</v>
      </c>
    </row>
    <row r="55" ht="22.5" customHeight="1">
      <c r="A55" s="6">
        <v>54.0</v>
      </c>
      <c r="B55" s="6" t="s">
        <v>51</v>
      </c>
      <c r="C55" s="6" t="s">
        <v>15</v>
      </c>
      <c r="D55" s="6" t="s">
        <v>16</v>
      </c>
    </row>
    <row r="56" ht="22.5" customHeight="1">
      <c r="A56" s="6">
        <v>55.0</v>
      </c>
      <c r="B56" s="6" t="s">
        <v>47</v>
      </c>
      <c r="C56" s="6" t="s">
        <v>16</v>
      </c>
      <c r="D56" s="6" t="s">
        <v>15</v>
      </c>
      <c r="E56" s="17" t="s">
        <v>59</v>
      </c>
    </row>
    <row r="57" ht="22.5" customHeight="1">
      <c r="A57" s="6">
        <v>56.0</v>
      </c>
      <c r="B57" s="6" t="s">
        <v>46</v>
      </c>
      <c r="C57" s="6" t="s">
        <v>15</v>
      </c>
      <c r="D57" s="6" t="s">
        <v>16</v>
      </c>
    </row>
    <row r="58" ht="22.5" customHeight="1">
      <c r="A58" s="6">
        <v>57.0</v>
      </c>
      <c r="B58" s="6" t="s">
        <v>48</v>
      </c>
      <c r="C58" s="6" t="s">
        <v>16</v>
      </c>
      <c r="D58" s="6" t="s">
        <v>16</v>
      </c>
    </row>
    <row r="59" ht="22.5" customHeight="1">
      <c r="A59" s="6">
        <v>58.0</v>
      </c>
      <c r="B59" s="6" t="s">
        <v>27</v>
      </c>
      <c r="C59" s="6" t="s">
        <v>16</v>
      </c>
      <c r="D59" s="6" t="s">
        <v>16</v>
      </c>
    </row>
    <row r="60" ht="22.5" customHeight="1">
      <c r="A60" s="6">
        <v>59.0</v>
      </c>
      <c r="B60" s="6" t="s">
        <v>20</v>
      </c>
      <c r="C60" s="6" t="s">
        <v>16</v>
      </c>
      <c r="D60" s="6" t="s">
        <v>16</v>
      </c>
    </row>
    <row r="61" ht="22.5" customHeight="1">
      <c r="A61" s="6">
        <v>60.0</v>
      </c>
      <c r="B61" s="6" t="s">
        <v>20</v>
      </c>
      <c r="C61" s="6" t="s">
        <v>16</v>
      </c>
      <c r="D61" s="6" t="s">
        <v>16</v>
      </c>
    </row>
    <row r="62" ht="22.5" customHeight="1">
      <c r="A62" s="6">
        <v>61.0</v>
      </c>
      <c r="B62" s="6" t="s">
        <v>20</v>
      </c>
      <c r="C62" s="6" t="s">
        <v>16</v>
      </c>
      <c r="D62" s="6" t="s">
        <v>16</v>
      </c>
    </row>
    <row r="63" ht="22.5" customHeight="1">
      <c r="A63" s="6">
        <v>62.0</v>
      </c>
      <c r="B63" s="6" t="s">
        <v>54</v>
      </c>
      <c r="C63" s="6" t="s">
        <v>16</v>
      </c>
      <c r="D63" s="6" t="s">
        <v>16</v>
      </c>
    </row>
    <row r="64" ht="22.5" customHeight="1">
      <c r="A64" s="6">
        <v>63.0</v>
      </c>
      <c r="B64" s="6" t="s">
        <v>60</v>
      </c>
      <c r="C64" s="6" t="s">
        <v>15</v>
      </c>
      <c r="D64" s="6" t="s">
        <v>16</v>
      </c>
    </row>
    <row r="65" ht="22.5" customHeight="1">
      <c r="A65" s="6">
        <v>64.0</v>
      </c>
      <c r="B65" s="6" t="s">
        <v>24</v>
      </c>
      <c r="C65" s="6" t="s">
        <v>16</v>
      </c>
      <c r="D65" s="6" t="s">
        <v>16</v>
      </c>
      <c r="E65" s="17" t="s">
        <v>61</v>
      </c>
    </row>
    <row r="66" ht="22.5" customHeight="1">
      <c r="A66" s="6">
        <v>65.0</v>
      </c>
      <c r="B66" s="6" t="s">
        <v>24</v>
      </c>
      <c r="C66" s="6" t="s">
        <v>16</v>
      </c>
      <c r="D66" s="6" t="s">
        <v>16</v>
      </c>
    </row>
    <row r="67" ht="22.5" customHeight="1">
      <c r="A67" s="6">
        <v>66.0</v>
      </c>
      <c r="B67" s="6" t="s">
        <v>24</v>
      </c>
      <c r="C67" s="6" t="s">
        <v>16</v>
      </c>
      <c r="D67" s="6" t="s">
        <v>16</v>
      </c>
    </row>
    <row r="68" ht="22.5" customHeight="1">
      <c r="A68" s="6">
        <v>67.0</v>
      </c>
      <c r="B68" s="6" t="s">
        <v>24</v>
      </c>
      <c r="C68" s="6" t="s">
        <v>16</v>
      </c>
      <c r="D68" s="6" t="s">
        <v>16</v>
      </c>
    </row>
    <row r="69" ht="22.5" customHeight="1">
      <c r="A69" s="6">
        <v>68.0</v>
      </c>
      <c r="B69" s="6" t="s">
        <v>24</v>
      </c>
      <c r="C69" s="6" t="s">
        <v>16</v>
      </c>
      <c r="D69" s="6" t="s">
        <v>16</v>
      </c>
    </row>
    <row r="70" ht="22.5" customHeight="1">
      <c r="A70" s="6">
        <v>69.0</v>
      </c>
      <c r="B70" s="6" t="s">
        <v>24</v>
      </c>
      <c r="C70" s="6" t="s">
        <v>16</v>
      </c>
      <c r="D70" s="6" t="s">
        <v>16</v>
      </c>
    </row>
    <row r="71" ht="22.5" customHeight="1">
      <c r="A71" s="6">
        <v>70.0</v>
      </c>
      <c r="B71" s="6" t="s">
        <v>24</v>
      </c>
      <c r="C71" s="6" t="s">
        <v>16</v>
      </c>
      <c r="D71" s="6" t="s">
        <v>16</v>
      </c>
    </row>
    <row r="72" ht="22.5" customHeight="1">
      <c r="A72" s="6">
        <v>71.0</v>
      </c>
      <c r="B72" s="6" t="s">
        <v>24</v>
      </c>
      <c r="C72" s="6" t="s">
        <v>16</v>
      </c>
      <c r="D72" s="6" t="s">
        <v>16</v>
      </c>
    </row>
    <row r="73" ht="22.5" customHeight="1">
      <c r="A73" s="6">
        <v>72.0</v>
      </c>
      <c r="B73" s="6" t="s">
        <v>24</v>
      </c>
      <c r="C73" s="6" t="s">
        <v>16</v>
      </c>
      <c r="D73" s="6" t="s">
        <v>16</v>
      </c>
    </row>
    <row r="74" ht="22.5" customHeight="1">
      <c r="A74" s="6">
        <v>73.0</v>
      </c>
      <c r="B74" s="6" t="s">
        <v>24</v>
      </c>
      <c r="C74" s="6" t="s">
        <v>16</v>
      </c>
      <c r="D74" s="6" t="s">
        <v>16</v>
      </c>
    </row>
    <row r="75" ht="22.5" customHeight="1">
      <c r="A75" s="6">
        <v>74.0</v>
      </c>
      <c r="B75" s="6" t="s">
        <v>29</v>
      </c>
      <c r="C75" s="6" t="s">
        <v>16</v>
      </c>
      <c r="D75" s="6" t="s">
        <v>16</v>
      </c>
    </row>
    <row r="76" ht="22.5" customHeight="1">
      <c r="A76" s="6">
        <v>75.0</v>
      </c>
      <c r="B76" s="6" t="s">
        <v>29</v>
      </c>
      <c r="C76" s="6" t="s">
        <v>16</v>
      </c>
      <c r="D76" s="6" t="s">
        <v>16</v>
      </c>
    </row>
    <row r="77" ht="22.5" customHeight="1">
      <c r="A77" s="6">
        <v>76.0</v>
      </c>
      <c r="B77" s="6" t="s">
        <v>29</v>
      </c>
      <c r="C77" s="6" t="s">
        <v>16</v>
      </c>
      <c r="D77" s="6" t="s">
        <v>16</v>
      </c>
    </row>
    <row r="78" ht="22.5" customHeight="1">
      <c r="A78" s="6">
        <v>77.0</v>
      </c>
      <c r="B78" s="6" t="s">
        <v>29</v>
      </c>
      <c r="C78" s="6" t="s">
        <v>16</v>
      </c>
      <c r="D78" s="6" t="s">
        <v>16</v>
      </c>
    </row>
    <row r="79" ht="22.5" customHeight="1">
      <c r="A79" s="6">
        <v>78.0</v>
      </c>
      <c r="B79" s="6" t="s">
        <v>29</v>
      </c>
      <c r="C79" s="6" t="s">
        <v>16</v>
      </c>
      <c r="D79" s="6" t="s">
        <v>16</v>
      </c>
    </row>
    <row r="80" ht="22.5" customHeight="1">
      <c r="A80" s="6">
        <v>79.0</v>
      </c>
      <c r="B80" s="6" t="s">
        <v>62</v>
      </c>
      <c r="C80" s="6" t="s">
        <v>15</v>
      </c>
      <c r="D80" s="6" t="s">
        <v>16</v>
      </c>
    </row>
    <row r="81" ht="22.5" customHeight="1">
      <c r="A81" s="6">
        <v>80.0</v>
      </c>
      <c r="B81" s="6" t="s">
        <v>14</v>
      </c>
      <c r="C81" s="6" t="s">
        <v>15</v>
      </c>
      <c r="D81" s="6" t="s">
        <v>16</v>
      </c>
    </row>
    <row r="82" ht="22.5" customHeight="1">
      <c r="A82" s="6">
        <v>81.0</v>
      </c>
      <c r="B82" s="6" t="s">
        <v>50</v>
      </c>
      <c r="C82" s="6" t="s">
        <v>15</v>
      </c>
      <c r="D82" s="6" t="s">
        <v>16</v>
      </c>
    </row>
    <row r="83" ht="22.5" customHeight="1">
      <c r="A83" s="6">
        <v>82.0</v>
      </c>
      <c r="B83" s="6" t="s">
        <v>63</v>
      </c>
      <c r="C83" s="6" t="s">
        <v>15</v>
      </c>
      <c r="D83" s="6" t="s">
        <v>16</v>
      </c>
    </row>
    <row r="84" ht="22.5" customHeight="1">
      <c r="A84" s="6">
        <v>83.0</v>
      </c>
      <c r="B84" s="6" t="s">
        <v>27</v>
      </c>
      <c r="C84" s="6" t="s">
        <v>16</v>
      </c>
      <c r="D84" s="6" t="s">
        <v>16</v>
      </c>
    </row>
    <row r="85" ht="22.5" customHeight="1">
      <c r="A85" s="6">
        <v>84.0</v>
      </c>
      <c r="B85" s="6" t="s">
        <v>27</v>
      </c>
      <c r="C85" s="6" t="s">
        <v>16</v>
      </c>
      <c r="D85" s="6" t="s">
        <v>16</v>
      </c>
    </row>
    <row r="86" ht="22.5" customHeight="1">
      <c r="A86" s="6">
        <v>85.0</v>
      </c>
      <c r="B86" s="6" t="s">
        <v>27</v>
      </c>
      <c r="C86" s="6" t="s">
        <v>16</v>
      </c>
      <c r="D86" s="6" t="s">
        <v>16</v>
      </c>
    </row>
    <row r="87" ht="22.5" customHeight="1">
      <c r="A87" s="6">
        <v>86.0</v>
      </c>
      <c r="B87" s="6" t="s">
        <v>27</v>
      </c>
      <c r="C87" s="6" t="s">
        <v>16</v>
      </c>
      <c r="D87" s="6" t="s">
        <v>16</v>
      </c>
    </row>
    <row r="88" ht="22.5" customHeight="1">
      <c r="A88" s="6">
        <v>87.0</v>
      </c>
      <c r="B88" s="6" t="s">
        <v>27</v>
      </c>
      <c r="C88" s="6" t="s">
        <v>16</v>
      </c>
      <c r="D88" s="6" t="s">
        <v>16</v>
      </c>
    </row>
    <row r="89" ht="22.5" customHeight="1">
      <c r="A89" s="6">
        <v>88.0</v>
      </c>
      <c r="B89" s="6" t="s">
        <v>27</v>
      </c>
      <c r="C89" s="6" t="s">
        <v>16</v>
      </c>
      <c r="D89" s="6" t="s">
        <v>16</v>
      </c>
    </row>
    <row r="90" ht="22.5" customHeight="1">
      <c r="A90" s="6">
        <v>89.0</v>
      </c>
      <c r="B90" s="6" t="s">
        <v>64</v>
      </c>
      <c r="C90" s="6" t="s">
        <v>15</v>
      </c>
      <c r="D90" s="6" t="s">
        <v>16</v>
      </c>
    </row>
    <row r="91" ht="22.5" customHeight="1">
      <c r="A91" s="6">
        <v>90.0</v>
      </c>
      <c r="B91" s="6" t="s">
        <v>65</v>
      </c>
      <c r="C91" s="6" t="s">
        <v>66</v>
      </c>
      <c r="D91" s="6" t="s">
        <v>66</v>
      </c>
    </row>
    <row r="92" ht="22.5" customHeight="1">
      <c r="A92" s="6">
        <v>91.0</v>
      </c>
      <c r="B92" s="6" t="s">
        <v>67</v>
      </c>
      <c r="C92" s="6" t="s">
        <v>15</v>
      </c>
      <c r="D92" s="6" t="s">
        <v>16</v>
      </c>
      <c r="E92" s="29" t="s">
        <v>68</v>
      </c>
    </row>
    <row r="93" ht="22.5" customHeight="1">
      <c r="A93" s="6">
        <v>92.0</v>
      </c>
      <c r="B93" s="6" t="s">
        <v>27</v>
      </c>
      <c r="C93" s="6" t="s">
        <v>16</v>
      </c>
      <c r="D93" s="6" t="s">
        <v>16</v>
      </c>
    </row>
    <row r="94" ht="22.5" customHeight="1">
      <c r="A94" s="6">
        <v>93.0</v>
      </c>
      <c r="B94" s="6" t="s">
        <v>39</v>
      </c>
      <c r="C94" s="6" t="s">
        <v>16</v>
      </c>
      <c r="D94" s="6" t="s">
        <v>16</v>
      </c>
    </row>
    <row r="95" ht="22.5" customHeight="1">
      <c r="A95" s="6">
        <v>94.0</v>
      </c>
      <c r="B95" s="6" t="s">
        <v>40</v>
      </c>
      <c r="C95" s="6" t="s">
        <v>15</v>
      </c>
      <c r="D95" s="6" t="s">
        <v>16</v>
      </c>
    </row>
    <row r="96" ht="22.5" customHeight="1">
      <c r="A96" s="6">
        <v>95.0</v>
      </c>
      <c r="B96" s="6" t="s">
        <v>21</v>
      </c>
      <c r="C96" s="6" t="s">
        <v>16</v>
      </c>
      <c r="D96" s="6" t="s">
        <v>16</v>
      </c>
    </row>
    <row r="97" ht="22.5" customHeight="1">
      <c r="A97" s="6">
        <v>96.0</v>
      </c>
      <c r="B97" s="6" t="s">
        <v>69</v>
      </c>
      <c r="C97" s="6" t="s">
        <v>15</v>
      </c>
      <c r="D97" s="6" t="s">
        <v>16</v>
      </c>
    </row>
    <row r="98" ht="22.5" customHeight="1">
      <c r="A98" s="6">
        <v>97.0</v>
      </c>
      <c r="B98" s="6" t="s">
        <v>70</v>
      </c>
      <c r="C98" s="6" t="s">
        <v>15</v>
      </c>
      <c r="D98" s="6" t="s">
        <v>16</v>
      </c>
    </row>
    <row r="99" ht="22.5" customHeight="1">
      <c r="A99" s="6">
        <v>98.0</v>
      </c>
      <c r="B99" s="6" t="s">
        <v>27</v>
      </c>
      <c r="C99" s="6" t="s">
        <v>16</v>
      </c>
      <c r="D99" s="6" t="s">
        <v>16</v>
      </c>
    </row>
    <row r="100" ht="22.5" customHeight="1">
      <c r="A100" s="6">
        <v>99.0</v>
      </c>
      <c r="B100" s="6" t="s">
        <v>71</v>
      </c>
      <c r="C100" s="6" t="s">
        <v>15</v>
      </c>
      <c r="D100" s="6" t="s">
        <v>15</v>
      </c>
      <c r="E100" s="17" t="s">
        <v>72</v>
      </c>
    </row>
    <row r="101" ht="22.5" customHeight="1">
      <c r="A101" s="6">
        <v>100.0</v>
      </c>
      <c r="B101" s="6" t="s">
        <v>21</v>
      </c>
      <c r="C101" s="6" t="s">
        <v>16</v>
      </c>
      <c r="D101" s="6" t="s">
        <v>16</v>
      </c>
    </row>
    <row r="102" ht="22.5" customHeight="1">
      <c r="A102" s="6">
        <v>101.0</v>
      </c>
      <c r="B102" s="6" t="s">
        <v>21</v>
      </c>
      <c r="C102" s="6" t="s">
        <v>16</v>
      </c>
      <c r="D102" s="6" t="s">
        <v>16</v>
      </c>
    </row>
    <row r="1000">
      <c r="B1000" s="30"/>
    </row>
  </sheetData>
  <dataValidations>
    <dataValidation type="custom" allowBlank="1" showDropDown="1" sqref="J2:J32">
      <formula1>AND(ISNUMBER(J2),(NOT(OR(NOT(ISERROR(DATEVALUE(J2))), AND(ISNUMBER(J2), LEFT(CELL("format", J2))="D")))))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13"/>
    <col customWidth="1" min="3" max="3" width="21.38"/>
    <col customWidth="1" min="5" max="5" width="38.0"/>
  </cols>
  <sheetData>
    <row r="1">
      <c r="A1" s="1" t="s">
        <v>73</v>
      </c>
    </row>
    <row r="2">
      <c r="A2" s="1" t="s">
        <v>74</v>
      </c>
      <c r="B2" s="1" t="s">
        <v>75</v>
      </c>
      <c r="C2" s="1" t="s">
        <v>76</v>
      </c>
    </row>
    <row r="3">
      <c r="A3" s="1" t="s">
        <v>77</v>
      </c>
      <c r="B3" s="1" t="s">
        <v>78</v>
      </c>
      <c r="C3" s="1" t="s">
        <v>79</v>
      </c>
    </row>
    <row r="4">
      <c r="B4" s="1" t="s">
        <v>80</v>
      </c>
      <c r="C4" s="1" t="s">
        <v>81</v>
      </c>
    </row>
    <row r="5">
      <c r="E5" s="1" t="s">
        <v>82</v>
      </c>
    </row>
    <row r="6">
      <c r="E6" s="1" t="s">
        <v>83</v>
      </c>
    </row>
    <row r="7">
      <c r="E7" s="1" t="s">
        <v>84</v>
      </c>
    </row>
  </sheetData>
  <drawing r:id="rId1"/>
</worksheet>
</file>